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E09A89EC-1934-416D-ADF5-A73AA21E7A38}" xr6:coauthVersionLast="47" xr6:coauthVersionMax="47" xr10:uidLastSave="{00000000-0000-0000-0000-000000000000}"/>
  <bookViews>
    <workbookView xWindow="-120" yWindow="-120" windowWidth="29040" windowHeight="15720" activeTab="3" xr2:uid="{20CFF639-0107-4F5A-8214-82170E8E122E}"/>
  </bookViews>
  <sheets>
    <sheet name="5.3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4" i="4" l="1"/>
  <c r="X13" i="4"/>
  <c r="X12" i="4"/>
  <c r="W14" i="4"/>
  <c r="W13" i="4"/>
  <c r="W12" i="4"/>
  <c r="V14" i="4"/>
  <c r="V13" i="4"/>
  <c r="V12" i="4"/>
  <c r="Y14" i="4"/>
  <c r="Y13" i="4"/>
  <c r="Y12" i="4"/>
  <c r="Y11" i="4"/>
  <c r="X11" i="4"/>
  <c r="W11" i="4"/>
  <c r="V11" i="4"/>
  <c r="Y10" i="4"/>
  <c r="X10" i="4"/>
  <c r="W10" i="4"/>
  <c r="V10" i="4"/>
  <c r="Y9" i="4"/>
  <c r="X9" i="4"/>
  <c r="W9" i="4"/>
  <c r="V9" i="4"/>
  <c r="Y8" i="4"/>
  <c r="X8" i="4"/>
  <c r="W8" i="4"/>
  <c r="V8" i="4"/>
  <c r="Y7" i="4"/>
  <c r="X7" i="4"/>
  <c r="W7" i="4"/>
  <c r="V7" i="4"/>
  <c r="Y6" i="4"/>
  <c r="X6" i="4"/>
  <c r="W6" i="4"/>
  <c r="V6" i="4"/>
  <c r="Y5" i="4"/>
  <c r="X5" i="4"/>
  <c r="W5" i="4"/>
  <c r="V5" i="4"/>
  <c r="F6" i="4"/>
  <c r="F7" i="4"/>
  <c r="F5" i="4"/>
  <c r="AC5" i="4"/>
  <c r="AC6" i="4"/>
  <c r="AC7" i="4"/>
  <c r="AC8" i="4"/>
  <c r="AC9" i="4"/>
  <c r="AC10" i="4"/>
  <c r="AC11" i="4"/>
  <c r="AC12" i="4"/>
  <c r="AC13" i="4"/>
  <c r="AC14" i="4"/>
  <c r="AC4" i="4"/>
  <c r="AB5" i="4"/>
  <c r="AB6" i="4"/>
  <c r="AB7" i="4"/>
  <c r="AB8" i="4"/>
  <c r="AB9" i="4"/>
  <c r="AB10" i="4"/>
  <c r="AB11" i="4"/>
  <c r="AB12" i="4"/>
  <c r="AB13" i="4"/>
  <c r="AB14" i="4"/>
  <c r="AB4" i="4"/>
  <c r="Y4" i="4"/>
  <c r="X4" i="4"/>
  <c r="W4" i="4"/>
  <c r="V4" i="4"/>
  <c r="K6" i="3"/>
  <c r="K7" i="3"/>
  <c r="K8" i="3"/>
  <c r="K9" i="3"/>
  <c r="K10" i="3"/>
  <c r="K11" i="3"/>
  <c r="K12" i="3"/>
  <c r="K13" i="3"/>
  <c r="K14" i="3"/>
  <c r="K5" i="3"/>
  <c r="L6" i="3"/>
  <c r="L7" i="3"/>
  <c r="L8" i="3"/>
  <c r="L9" i="3"/>
  <c r="L10" i="3"/>
  <c r="L11" i="3"/>
  <c r="L12" i="3"/>
  <c r="L13" i="3"/>
  <c r="L14" i="3"/>
  <c r="L5" i="3"/>
</calcChain>
</file>

<file path=xl/sharedStrings.xml><?xml version="1.0" encoding="utf-8"?>
<sst xmlns="http://schemas.openxmlformats.org/spreadsheetml/2006/main" count="346" uniqueCount="150">
  <si>
    <t>Producto (boleto)</t>
  </si>
  <si>
    <t>Cliente</t>
  </si>
  <si>
    <t>Moneda</t>
  </si>
  <si>
    <t>Territorio de ventas</t>
  </si>
  <si>
    <t>Cantidad (orden)</t>
  </si>
  <si>
    <t>Monto de venta</t>
  </si>
  <si>
    <t>Película: Dune Part Two, Formato: IMAX 2D, Tipo de asiento: Adulto</t>
  </si>
  <si>
    <t>Cole</t>
  </si>
  <si>
    <t>Dólar estadounidense</t>
  </si>
  <si>
    <t>Norteamérica</t>
  </si>
  <si>
    <t>Película: Wonka, Formato: 2D, Tipo de asiento: Niño</t>
  </si>
  <si>
    <t>Rachael</t>
  </si>
  <si>
    <t>Euro</t>
  </si>
  <si>
    <t>Europa</t>
  </si>
  <si>
    <t>Película: Oppenheimer, Formato: 3D, Tipo de asiento: Adulto</t>
  </si>
  <si>
    <t>Sydney</t>
  </si>
  <si>
    <t>Película: Inside Out 2, Formato: 2D, Tipo de asiento: Estudiante</t>
  </si>
  <si>
    <t>Ruben</t>
  </si>
  <si>
    <t>Película: Dune Part Two, Formato: VIP 2D, Tipo de asiento: Adulto</t>
  </si>
  <si>
    <t>Christy</t>
  </si>
  <si>
    <t>Dólar australiano</t>
  </si>
  <si>
    <t>Pacífico</t>
  </si>
  <si>
    <t>Película: Wonka, Formato: 3D, Tipo de asiento: Adulto</t>
  </si>
  <si>
    <t>Colin</t>
  </si>
  <si>
    <t>Película: Spider-Man NWH, Formato: 2D, Tipo de asiento: Adulto mayor</t>
  </si>
  <si>
    <t>Albert</t>
  </si>
  <si>
    <t>Película: Oppenheimer, Formato: IMAX, Tipo de asiento: Adulto</t>
  </si>
  <si>
    <t>Julio</t>
  </si>
  <si>
    <t>Película: Inside Out 2, Formato: 2D, Tipo de asiento: Niño</t>
  </si>
  <si>
    <t>Curtis</t>
  </si>
  <si>
    <t>Película: Dune Part Two, Formato: 3D, Tipo de asiento: Adulto</t>
  </si>
  <si>
    <t>Edward</t>
  </si>
  <si>
    <t>Original</t>
  </si>
  <si>
    <t>VentaID (PK)</t>
  </si>
  <si>
    <t>Película</t>
  </si>
  <si>
    <t>Formato</t>
  </si>
  <si>
    <t>TipoAsiento</t>
  </si>
  <si>
    <t>TerritorioVentas</t>
  </si>
  <si>
    <t>CantidadOrden</t>
  </si>
  <si>
    <t>MontoVenta</t>
  </si>
  <si>
    <t>1NF</t>
  </si>
  <si>
    <t>Dune Part Two</t>
  </si>
  <si>
    <t>IMAX 2D</t>
  </si>
  <si>
    <t>Adulto</t>
  </si>
  <si>
    <t>Wonka</t>
  </si>
  <si>
    <t>2D</t>
  </si>
  <si>
    <t>3D</t>
  </si>
  <si>
    <t>Niño</t>
  </si>
  <si>
    <t>Oppenheimer</t>
  </si>
  <si>
    <t>Inside Out 2</t>
  </si>
  <si>
    <t>Estudiante</t>
  </si>
  <si>
    <t>VIP 2D</t>
  </si>
  <si>
    <t>Spider-Man NWH</t>
  </si>
  <si>
    <t>Adulto mayor</t>
  </si>
  <si>
    <t>IMAX</t>
  </si>
  <si>
    <t>MOV0001</t>
  </si>
  <si>
    <t>MOV0002</t>
  </si>
  <si>
    <t>MOV0003</t>
  </si>
  <si>
    <t>MOV0004</t>
  </si>
  <si>
    <t>MOV0005</t>
  </si>
  <si>
    <t>MOV0006</t>
  </si>
  <si>
    <t>MOV0007</t>
  </si>
  <si>
    <t>MOV0008</t>
  </si>
  <si>
    <t>MOV0009</t>
  </si>
  <si>
    <t>MOV0010</t>
  </si>
  <si>
    <t>2NF</t>
  </si>
  <si>
    <t>VENTA</t>
  </si>
  <si>
    <t>PRODUCTO_BOLETA</t>
  </si>
  <si>
    <t>VENTA_CINE</t>
  </si>
  <si>
    <t>Nombre</t>
  </si>
  <si>
    <t>Pelicula</t>
  </si>
  <si>
    <t>id_venta</t>
  </si>
  <si>
    <t>id_Cliente</t>
  </si>
  <si>
    <t>id_Producto</t>
  </si>
  <si>
    <t>Tipo_Asiento</t>
  </si>
  <si>
    <t>id_Venta</t>
  </si>
  <si>
    <t>Cl0001</t>
  </si>
  <si>
    <t>Cl0002</t>
  </si>
  <si>
    <t>Cl0003</t>
  </si>
  <si>
    <t>Cl0004</t>
  </si>
  <si>
    <t>Cl0005</t>
  </si>
  <si>
    <t>Cl0006</t>
  </si>
  <si>
    <t>Cl0007</t>
  </si>
  <si>
    <t>Cl0008</t>
  </si>
  <si>
    <t>Cl0009</t>
  </si>
  <si>
    <t>Cl0010</t>
  </si>
  <si>
    <t>PB0001</t>
  </si>
  <si>
    <t>PB0002</t>
  </si>
  <si>
    <t>PB0003</t>
  </si>
  <si>
    <t>PB0004</t>
  </si>
  <si>
    <t>PB0005</t>
  </si>
  <si>
    <t>PB0006</t>
  </si>
  <si>
    <t>PB0007</t>
  </si>
  <si>
    <t>PB0008</t>
  </si>
  <si>
    <t>PB0009</t>
  </si>
  <si>
    <t>PB0010</t>
  </si>
  <si>
    <t>3NF</t>
  </si>
  <si>
    <t>id_Territorio</t>
  </si>
  <si>
    <t>NombreTerritorio</t>
  </si>
  <si>
    <t>id_Moneda</t>
  </si>
  <si>
    <t>NombreMoneda</t>
  </si>
  <si>
    <t>id_Pelicula</t>
  </si>
  <si>
    <t>Titulo</t>
  </si>
  <si>
    <t>id_Formato</t>
  </si>
  <si>
    <t>NombreFormato</t>
  </si>
  <si>
    <t>id_TipoAsiento</t>
  </si>
  <si>
    <t>NombreTipoAsiento</t>
  </si>
  <si>
    <t>PRODUCTO_BOLETO</t>
  </si>
  <si>
    <t>TIPO_ASIENTO</t>
  </si>
  <si>
    <t>FOMATO</t>
  </si>
  <si>
    <t>PELICULA</t>
  </si>
  <si>
    <t>CLIENTE</t>
  </si>
  <si>
    <t>MONEDA</t>
  </si>
  <si>
    <t>TERRITORIO_VENTAS</t>
  </si>
  <si>
    <t>TV0001</t>
  </si>
  <si>
    <t>TV0002</t>
  </si>
  <si>
    <t>TV0003</t>
  </si>
  <si>
    <t>MON0001</t>
  </si>
  <si>
    <t>MON0002</t>
  </si>
  <si>
    <t>MON0003</t>
  </si>
  <si>
    <t>PEL0001</t>
  </si>
  <si>
    <t>PEL0002</t>
  </si>
  <si>
    <t>PEL0003</t>
  </si>
  <si>
    <t>PEL0004</t>
  </si>
  <si>
    <t>PEL0005</t>
  </si>
  <si>
    <t>FOR0001</t>
  </si>
  <si>
    <t>FOR0002</t>
  </si>
  <si>
    <t>FOR0003</t>
  </si>
  <si>
    <t>FOR0004</t>
  </si>
  <si>
    <t>FOR0005</t>
  </si>
  <si>
    <t>TA0001</t>
  </si>
  <si>
    <t>TA0002</t>
  </si>
  <si>
    <t>TA0003</t>
  </si>
  <si>
    <t>TA0004</t>
  </si>
  <si>
    <t>VENTA0001</t>
  </si>
  <si>
    <t>VENTA0002</t>
  </si>
  <si>
    <t>VENTA0003</t>
  </si>
  <si>
    <t>VENTA0004</t>
  </si>
  <si>
    <t>VENTA0005</t>
  </si>
  <si>
    <t>VENTA0006</t>
  </si>
  <si>
    <t>VENTA0007</t>
  </si>
  <si>
    <t>VENTA0008</t>
  </si>
  <si>
    <t>VENTA0009</t>
  </si>
  <si>
    <t>VENTA0010</t>
  </si>
  <si>
    <t>PK</t>
  </si>
  <si>
    <t>FK</t>
  </si>
  <si>
    <t>Atributo</t>
  </si>
  <si>
    <t>Entidad</t>
  </si>
  <si>
    <t>Leyendas: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</si>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</sst>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scadia Code Light"/>
      <family val="3"/>
    </font>
    <font>
      <sz val="12"/>
      <color theme="1"/>
      <name val="Cascadia Code Light"/>
      <family val="3"/>
    </font>
    <font>
      <sz val="8"/>
      <name val="Calibri"/>
      <family val="2"/>
      <scheme val="minor"/>
    </font>
    <font>
      <b/>
      <sz val="14"/>
      <color theme="1"/>
      <name val="Cascadia Code Light"/>
      <family val="3"/>
    </font>
    <font>
      <b/>
      <sz val="20"/>
      <color theme="1"/>
      <name val="Cascadia Code Light"/>
      <family val="3"/>
    </font>
    <font>
      <b/>
      <sz val="22"/>
      <color theme="1"/>
      <name val="Cascadia Code Light"/>
      <family val="3"/>
    </font>
    <font>
      <b/>
      <sz val="12"/>
      <color theme="0"/>
      <name val="Cascadia Code Light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0EC7-C4A8-4DDA-B2AE-D10D4E405DF6}">
  <sheetPr codeName="Hoja1">
    <tabColor theme="1"/>
  </sheetPr>
  <dimension ref="B2:G13"/>
  <sheetViews>
    <sheetView workbookViewId="0">
      <selection activeCell="B26" sqref="B26"/>
    </sheetView>
  </sheetViews>
  <sheetFormatPr baseColWidth="10" defaultRowHeight="17.25" x14ac:dyDescent="0.3"/>
  <cols>
    <col min="1" max="1" width="11.42578125" style="3"/>
    <col min="2" max="2" width="90.85546875" style="3" bestFit="1" customWidth="1"/>
    <col min="3" max="3" width="11.28515625" style="3" bestFit="1" customWidth="1"/>
    <col min="4" max="4" width="27.42578125" style="3" bestFit="1" customWidth="1"/>
    <col min="5" max="5" width="30.28515625" style="3" bestFit="1" customWidth="1"/>
    <col min="6" max="6" width="24.42578125" style="3" bestFit="1" customWidth="1"/>
    <col min="7" max="7" width="21.5703125" style="3" bestFit="1" customWidth="1"/>
    <col min="8" max="16384" width="11.42578125" style="3"/>
  </cols>
  <sheetData>
    <row r="2" spans="2:7" ht="28.5" x14ac:dyDescent="0.45">
      <c r="B2" s="17" t="s">
        <v>32</v>
      </c>
      <c r="C2" s="17"/>
      <c r="D2" s="17"/>
      <c r="E2" s="17"/>
      <c r="F2" s="17"/>
      <c r="G2" s="17"/>
    </row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 t="s">
        <v>5</v>
      </c>
    </row>
    <row r="4" spans="2:7" x14ac:dyDescent="0.3">
      <c r="B4" s="4" t="s">
        <v>6</v>
      </c>
      <c r="C4" s="4" t="s">
        <v>7</v>
      </c>
      <c r="D4" s="4" t="s">
        <v>8</v>
      </c>
      <c r="E4" s="4" t="s">
        <v>9</v>
      </c>
      <c r="F4" s="5">
        <v>1</v>
      </c>
      <c r="G4" s="5">
        <v>12.5</v>
      </c>
    </row>
    <row r="5" spans="2:7" x14ac:dyDescent="0.3">
      <c r="B5" s="4" t="s">
        <v>10</v>
      </c>
      <c r="C5" s="4" t="s">
        <v>11</v>
      </c>
      <c r="D5" s="4" t="s">
        <v>12</v>
      </c>
      <c r="E5" s="4" t="s">
        <v>13</v>
      </c>
      <c r="F5" s="5">
        <v>2</v>
      </c>
      <c r="G5" s="5">
        <v>16</v>
      </c>
    </row>
    <row r="6" spans="2:7" x14ac:dyDescent="0.3">
      <c r="B6" s="4" t="s">
        <v>14</v>
      </c>
      <c r="C6" s="4" t="s">
        <v>15</v>
      </c>
      <c r="D6" s="4" t="s">
        <v>8</v>
      </c>
      <c r="E6" s="4" t="s">
        <v>9</v>
      </c>
      <c r="F6" s="5">
        <v>1</v>
      </c>
      <c r="G6" s="5">
        <v>15</v>
      </c>
    </row>
    <row r="7" spans="2:7" x14ac:dyDescent="0.3">
      <c r="B7" s="4" t="s">
        <v>16</v>
      </c>
      <c r="C7" s="4" t="s">
        <v>17</v>
      </c>
      <c r="D7" s="4" t="s">
        <v>8</v>
      </c>
      <c r="E7" s="4" t="s">
        <v>9</v>
      </c>
      <c r="F7" s="5">
        <v>3</v>
      </c>
      <c r="G7" s="5">
        <v>21</v>
      </c>
    </row>
    <row r="8" spans="2:7" x14ac:dyDescent="0.3">
      <c r="B8" s="4" t="s">
        <v>18</v>
      </c>
      <c r="C8" s="4" t="s">
        <v>19</v>
      </c>
      <c r="D8" s="4" t="s">
        <v>20</v>
      </c>
      <c r="E8" s="4" t="s">
        <v>21</v>
      </c>
      <c r="F8" s="5">
        <v>1</v>
      </c>
      <c r="G8" s="5">
        <v>22</v>
      </c>
    </row>
    <row r="9" spans="2:7" x14ac:dyDescent="0.3">
      <c r="B9" s="4" t="s">
        <v>22</v>
      </c>
      <c r="C9" s="4" t="s">
        <v>23</v>
      </c>
      <c r="D9" s="4" t="s">
        <v>8</v>
      </c>
      <c r="E9" s="4" t="s">
        <v>9</v>
      </c>
      <c r="F9" s="5">
        <v>2</v>
      </c>
      <c r="G9" s="5">
        <v>26</v>
      </c>
    </row>
    <row r="10" spans="2:7" x14ac:dyDescent="0.3">
      <c r="B10" s="4" t="s">
        <v>24</v>
      </c>
      <c r="C10" s="4" t="s">
        <v>25</v>
      </c>
      <c r="D10" s="4" t="s">
        <v>20</v>
      </c>
      <c r="E10" s="4" t="s">
        <v>21</v>
      </c>
      <c r="F10" s="5">
        <v>1</v>
      </c>
      <c r="G10" s="5">
        <v>10.5</v>
      </c>
    </row>
    <row r="11" spans="2:7" x14ac:dyDescent="0.3">
      <c r="B11" s="4" t="s">
        <v>26</v>
      </c>
      <c r="C11" s="4" t="s">
        <v>27</v>
      </c>
      <c r="D11" s="4" t="s">
        <v>20</v>
      </c>
      <c r="E11" s="4" t="s">
        <v>21</v>
      </c>
      <c r="F11" s="5">
        <v>2</v>
      </c>
      <c r="G11" s="5">
        <v>38</v>
      </c>
    </row>
    <row r="12" spans="2:7" x14ac:dyDescent="0.3">
      <c r="B12" s="4" t="s">
        <v>28</v>
      </c>
      <c r="C12" s="4" t="s">
        <v>29</v>
      </c>
      <c r="D12" s="4" t="s">
        <v>20</v>
      </c>
      <c r="E12" s="4" t="s">
        <v>21</v>
      </c>
      <c r="F12" s="5">
        <v>1</v>
      </c>
      <c r="G12" s="5">
        <v>8</v>
      </c>
    </row>
    <row r="13" spans="2:7" x14ac:dyDescent="0.3">
      <c r="B13" s="4" t="s">
        <v>30</v>
      </c>
      <c r="C13" s="4" t="s">
        <v>31</v>
      </c>
      <c r="D13" s="4" t="s">
        <v>8</v>
      </c>
      <c r="E13" s="4" t="s">
        <v>9</v>
      </c>
      <c r="F13" s="5">
        <v>2</v>
      </c>
      <c r="G13" s="5">
        <v>30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8DD7-5738-4939-8E2B-FEDC63D9D146}">
  <sheetPr codeName="Hoja2">
    <tabColor rgb="FFC00000"/>
  </sheetPr>
  <dimension ref="B2:J13"/>
  <sheetViews>
    <sheetView workbookViewId="0">
      <selection activeCell="E27" sqref="E27"/>
    </sheetView>
  </sheetViews>
  <sheetFormatPr baseColWidth="10" defaultRowHeight="17.25" x14ac:dyDescent="0.3"/>
  <cols>
    <col min="1" max="1" width="4.5703125" style="3" customWidth="1"/>
    <col min="2" max="2" width="18.5703125" style="3" bestFit="1" customWidth="1"/>
    <col min="3" max="3" width="19.42578125" style="3" bestFit="1" customWidth="1"/>
    <col min="4" max="4" width="11.28515625" style="3" bestFit="1" customWidth="1"/>
    <col min="5" max="5" width="17.140625" style="3" bestFit="1" customWidth="1"/>
    <col min="6" max="6" width="11.28515625" style="3" bestFit="1" customWidth="1"/>
    <col min="7" max="7" width="27.42578125" style="3" bestFit="1" customWidth="1"/>
    <col min="8" max="8" width="24.42578125" style="3" bestFit="1" customWidth="1"/>
    <col min="9" max="9" width="20" style="3" bestFit="1" customWidth="1"/>
    <col min="10" max="10" width="15.5703125" style="3" bestFit="1" customWidth="1"/>
    <col min="11" max="11" width="15.5703125" style="3" customWidth="1"/>
    <col min="12" max="12" width="11.28515625" style="3" bestFit="1" customWidth="1"/>
    <col min="13" max="13" width="27.42578125" style="3" bestFit="1" customWidth="1"/>
    <col min="14" max="14" width="30.28515625" style="3" bestFit="1" customWidth="1"/>
    <col min="15" max="15" width="24.42578125" style="3" bestFit="1" customWidth="1"/>
    <col min="16" max="16" width="21.5703125" style="3" bestFit="1" customWidth="1"/>
    <col min="17" max="16384" width="11.42578125" style="3"/>
  </cols>
  <sheetData>
    <row r="2" spans="2:10" ht="28.5" x14ac:dyDescent="0.45">
      <c r="B2" s="17" t="s">
        <v>40</v>
      </c>
      <c r="C2" s="17"/>
      <c r="D2" s="17"/>
      <c r="E2" s="17"/>
      <c r="F2" s="17"/>
      <c r="G2" s="17"/>
      <c r="H2" s="17"/>
      <c r="I2" s="17"/>
      <c r="J2" s="17"/>
    </row>
    <row r="3" spans="2:10" x14ac:dyDescent="0.3">
      <c r="B3" s="10" t="s">
        <v>33</v>
      </c>
      <c r="C3" s="10" t="s">
        <v>34</v>
      </c>
      <c r="D3" s="10" t="s">
        <v>35</v>
      </c>
      <c r="E3" s="10" t="s">
        <v>36</v>
      </c>
      <c r="F3" s="10" t="s">
        <v>1</v>
      </c>
      <c r="G3" s="10" t="s">
        <v>2</v>
      </c>
      <c r="H3" s="10" t="s">
        <v>37</v>
      </c>
      <c r="I3" s="10" t="s">
        <v>38</v>
      </c>
      <c r="J3" s="10" t="s">
        <v>39</v>
      </c>
    </row>
    <row r="4" spans="2:10" x14ac:dyDescent="0.3">
      <c r="B4" s="6" t="s">
        <v>55</v>
      </c>
      <c r="C4" s="6" t="s">
        <v>41</v>
      </c>
      <c r="D4" s="6" t="s">
        <v>42</v>
      </c>
      <c r="E4" s="6" t="s">
        <v>43</v>
      </c>
      <c r="F4" s="6" t="s">
        <v>7</v>
      </c>
      <c r="G4" s="6" t="s">
        <v>8</v>
      </c>
      <c r="H4" s="6" t="s">
        <v>9</v>
      </c>
      <c r="I4" s="6">
        <v>1</v>
      </c>
      <c r="J4" s="6">
        <v>12.5</v>
      </c>
    </row>
    <row r="5" spans="2:10" x14ac:dyDescent="0.3">
      <c r="B5" s="6" t="s">
        <v>56</v>
      </c>
      <c r="C5" s="6" t="s">
        <v>44</v>
      </c>
      <c r="D5" s="6" t="s">
        <v>45</v>
      </c>
      <c r="E5" s="6" t="s">
        <v>47</v>
      </c>
      <c r="F5" s="6" t="s">
        <v>11</v>
      </c>
      <c r="G5" s="6" t="s">
        <v>12</v>
      </c>
      <c r="H5" s="6" t="s">
        <v>13</v>
      </c>
      <c r="I5" s="6">
        <v>2</v>
      </c>
      <c r="J5" s="6">
        <v>16</v>
      </c>
    </row>
    <row r="6" spans="2:10" x14ac:dyDescent="0.3">
      <c r="B6" s="6" t="s">
        <v>57</v>
      </c>
      <c r="C6" s="6" t="s">
        <v>48</v>
      </c>
      <c r="D6" s="6" t="s">
        <v>46</v>
      </c>
      <c r="E6" s="6" t="s">
        <v>43</v>
      </c>
      <c r="F6" s="6" t="s">
        <v>15</v>
      </c>
      <c r="G6" s="6" t="s">
        <v>8</v>
      </c>
      <c r="H6" s="6" t="s">
        <v>9</v>
      </c>
      <c r="I6" s="6">
        <v>1</v>
      </c>
      <c r="J6" s="6">
        <v>15</v>
      </c>
    </row>
    <row r="7" spans="2:10" x14ac:dyDescent="0.3">
      <c r="B7" s="6" t="s">
        <v>58</v>
      </c>
      <c r="C7" s="6" t="s">
        <v>49</v>
      </c>
      <c r="D7" s="6" t="s">
        <v>45</v>
      </c>
      <c r="E7" s="6" t="s">
        <v>50</v>
      </c>
      <c r="F7" s="6" t="s">
        <v>17</v>
      </c>
      <c r="G7" s="6" t="s">
        <v>8</v>
      </c>
      <c r="H7" s="6" t="s">
        <v>9</v>
      </c>
      <c r="I7" s="6">
        <v>3</v>
      </c>
      <c r="J7" s="6">
        <v>21</v>
      </c>
    </row>
    <row r="8" spans="2:10" x14ac:dyDescent="0.3">
      <c r="B8" s="6" t="s">
        <v>59</v>
      </c>
      <c r="C8" s="6" t="s">
        <v>41</v>
      </c>
      <c r="D8" s="6" t="s">
        <v>51</v>
      </c>
      <c r="E8" s="6" t="s">
        <v>43</v>
      </c>
      <c r="F8" s="6" t="s">
        <v>19</v>
      </c>
      <c r="G8" s="6" t="s">
        <v>20</v>
      </c>
      <c r="H8" s="6" t="s">
        <v>21</v>
      </c>
      <c r="I8" s="6">
        <v>1</v>
      </c>
      <c r="J8" s="6">
        <v>22</v>
      </c>
    </row>
    <row r="9" spans="2:10" x14ac:dyDescent="0.3">
      <c r="B9" s="6" t="s">
        <v>60</v>
      </c>
      <c r="C9" s="6" t="s">
        <v>44</v>
      </c>
      <c r="D9" s="6" t="s">
        <v>46</v>
      </c>
      <c r="E9" s="6" t="s">
        <v>43</v>
      </c>
      <c r="F9" s="6" t="s">
        <v>23</v>
      </c>
      <c r="G9" s="6" t="s">
        <v>8</v>
      </c>
      <c r="H9" s="6" t="s">
        <v>9</v>
      </c>
      <c r="I9" s="6">
        <v>2</v>
      </c>
      <c r="J9" s="6">
        <v>26</v>
      </c>
    </row>
    <row r="10" spans="2:10" x14ac:dyDescent="0.3">
      <c r="B10" s="6" t="s">
        <v>61</v>
      </c>
      <c r="C10" s="6" t="s">
        <v>52</v>
      </c>
      <c r="D10" s="6" t="s">
        <v>45</v>
      </c>
      <c r="E10" s="6" t="s">
        <v>53</v>
      </c>
      <c r="F10" s="6" t="s">
        <v>25</v>
      </c>
      <c r="G10" s="6" t="s">
        <v>20</v>
      </c>
      <c r="H10" s="6" t="s">
        <v>21</v>
      </c>
      <c r="I10" s="6">
        <v>1</v>
      </c>
      <c r="J10" s="6">
        <v>10.5</v>
      </c>
    </row>
    <row r="11" spans="2:10" x14ac:dyDescent="0.3">
      <c r="B11" s="6" t="s">
        <v>62</v>
      </c>
      <c r="C11" s="6" t="s">
        <v>48</v>
      </c>
      <c r="D11" s="6" t="s">
        <v>54</v>
      </c>
      <c r="E11" s="6" t="s">
        <v>43</v>
      </c>
      <c r="F11" s="6" t="s">
        <v>27</v>
      </c>
      <c r="G11" s="6" t="s">
        <v>20</v>
      </c>
      <c r="H11" s="6" t="s">
        <v>21</v>
      </c>
      <c r="I11" s="6">
        <v>2</v>
      </c>
      <c r="J11" s="6">
        <v>38</v>
      </c>
    </row>
    <row r="12" spans="2:10" x14ac:dyDescent="0.3">
      <c r="B12" s="6" t="s">
        <v>63</v>
      </c>
      <c r="C12" s="6" t="s">
        <v>49</v>
      </c>
      <c r="D12" s="6" t="s">
        <v>45</v>
      </c>
      <c r="E12" s="6" t="s">
        <v>47</v>
      </c>
      <c r="F12" s="6" t="s">
        <v>29</v>
      </c>
      <c r="G12" s="6" t="s">
        <v>20</v>
      </c>
      <c r="H12" s="6" t="s">
        <v>21</v>
      </c>
      <c r="I12" s="6">
        <v>1</v>
      </c>
      <c r="J12" s="6">
        <v>8</v>
      </c>
    </row>
    <row r="13" spans="2:10" x14ac:dyDescent="0.3">
      <c r="B13" s="6" t="s">
        <v>64</v>
      </c>
      <c r="C13" s="6" t="s">
        <v>41</v>
      </c>
      <c r="D13" s="6" t="s">
        <v>46</v>
      </c>
      <c r="E13" s="6" t="s">
        <v>43</v>
      </c>
      <c r="F13" s="6" t="s">
        <v>31</v>
      </c>
      <c r="G13" s="6" t="s">
        <v>8</v>
      </c>
      <c r="H13" s="6" t="s">
        <v>9</v>
      </c>
      <c r="I13" s="6">
        <v>2</v>
      </c>
      <c r="J13" s="6">
        <v>30</v>
      </c>
    </row>
  </sheetData>
  <mergeCells count="1">
    <mergeCell ref="B2:J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D88C-D3E6-4755-98D0-892124B7FE49}">
  <sheetPr codeName="Hoja3">
    <tabColor rgb="FF002060"/>
  </sheetPr>
  <dimension ref="B2:P14"/>
  <sheetViews>
    <sheetView workbookViewId="0">
      <selection activeCell="L18" sqref="L18"/>
    </sheetView>
  </sheetViews>
  <sheetFormatPr baseColWidth="10" defaultRowHeight="17.25" x14ac:dyDescent="0.25"/>
  <cols>
    <col min="1" max="1" width="4.5703125" style="7" customWidth="1"/>
    <col min="2" max="2" width="15.5703125" style="7" bestFit="1" customWidth="1"/>
    <col min="3" max="3" width="10.28515625" style="7" bestFit="1" customWidth="1"/>
    <col min="4" max="4" width="4.5703125" style="7" customWidth="1"/>
    <col min="5" max="5" width="17.140625" style="7" bestFit="1" customWidth="1"/>
    <col min="6" max="6" width="19.42578125" style="7" bestFit="1" customWidth="1"/>
    <col min="7" max="7" width="11.28515625" style="7" bestFit="1" customWidth="1"/>
    <col min="8" max="8" width="18.5703125" style="7" bestFit="1" customWidth="1"/>
    <col min="9" max="9" width="4.5703125" style="7" customWidth="1"/>
    <col min="10" max="10" width="12.7109375" style="7" bestFit="1" customWidth="1"/>
    <col min="11" max="11" width="15.5703125" style="7" customWidth="1"/>
    <col min="12" max="12" width="17.140625" style="7" bestFit="1" customWidth="1"/>
    <col min="13" max="13" width="27.42578125" style="7" bestFit="1" customWidth="1"/>
    <col min="14" max="14" width="24.42578125" style="7" bestFit="1" customWidth="1"/>
    <col min="15" max="15" width="20" style="7" bestFit="1" customWidth="1"/>
    <col min="16" max="16" width="15.5703125" style="7" bestFit="1" customWidth="1"/>
    <col min="17" max="17" width="11.28515625" style="7" bestFit="1" customWidth="1"/>
    <col min="18" max="18" width="27.42578125" style="7" bestFit="1" customWidth="1"/>
    <col min="19" max="19" width="24.42578125" style="7" bestFit="1" customWidth="1"/>
    <col min="20" max="20" width="20" style="7" bestFit="1" customWidth="1"/>
    <col min="21" max="21" width="15.5703125" style="7" bestFit="1" customWidth="1"/>
    <col min="22" max="16384" width="11.42578125" style="7"/>
  </cols>
  <sheetData>
    <row r="2" spans="2:16" ht="32.25" x14ac:dyDescent="0.25">
      <c r="B2" s="19" t="s">
        <v>65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6" s="9" customFormat="1" ht="21" x14ac:dyDescent="0.25">
      <c r="B3" s="18" t="s">
        <v>111</v>
      </c>
      <c r="C3" s="18"/>
      <c r="E3" s="18" t="s">
        <v>67</v>
      </c>
      <c r="F3" s="18"/>
      <c r="G3" s="18"/>
      <c r="H3" s="18"/>
      <c r="J3" s="18" t="s">
        <v>68</v>
      </c>
      <c r="K3" s="18"/>
      <c r="L3" s="18"/>
      <c r="M3" s="18"/>
      <c r="N3" s="18"/>
      <c r="O3" s="18"/>
      <c r="P3" s="18"/>
    </row>
    <row r="4" spans="2:16" s="8" customFormat="1" x14ac:dyDescent="0.25">
      <c r="B4" s="13" t="s">
        <v>72</v>
      </c>
      <c r="C4" s="10" t="s">
        <v>69</v>
      </c>
      <c r="E4" s="13" t="s">
        <v>73</v>
      </c>
      <c r="F4" s="10" t="s">
        <v>70</v>
      </c>
      <c r="G4" s="10" t="s">
        <v>35</v>
      </c>
      <c r="H4" s="10" t="s">
        <v>74</v>
      </c>
      <c r="J4" s="13" t="s">
        <v>75</v>
      </c>
      <c r="K4" s="14" t="s">
        <v>72</v>
      </c>
      <c r="L4" s="14" t="s">
        <v>73</v>
      </c>
      <c r="M4" s="10" t="s">
        <v>2</v>
      </c>
      <c r="N4" s="10" t="s">
        <v>37</v>
      </c>
      <c r="O4" s="10" t="s">
        <v>38</v>
      </c>
      <c r="P4" s="10" t="s">
        <v>39</v>
      </c>
    </row>
    <row r="5" spans="2:16" x14ac:dyDescent="0.25">
      <c r="B5" s="6" t="s">
        <v>76</v>
      </c>
      <c r="C5" s="6" t="s">
        <v>7</v>
      </c>
      <c r="E5" s="6" t="s">
        <v>86</v>
      </c>
      <c r="F5" s="6" t="s">
        <v>41</v>
      </c>
      <c r="G5" s="6" t="s">
        <v>42</v>
      </c>
      <c r="H5" s="6" t="s">
        <v>43</v>
      </c>
      <c r="J5" s="6" t="s">
        <v>55</v>
      </c>
      <c r="K5" s="6" t="str">
        <f>B5</f>
        <v>Cl0001</v>
      </c>
      <c r="L5" s="6" t="str">
        <f>E5</f>
        <v>PB0001</v>
      </c>
      <c r="M5" s="6" t="s">
        <v>8</v>
      </c>
      <c r="N5" s="6" t="s">
        <v>9</v>
      </c>
      <c r="O5" s="6">
        <v>1</v>
      </c>
      <c r="P5" s="6">
        <v>12.5</v>
      </c>
    </row>
    <row r="6" spans="2:16" x14ac:dyDescent="0.25">
      <c r="B6" s="6" t="s">
        <v>77</v>
      </c>
      <c r="C6" s="6" t="s">
        <v>11</v>
      </c>
      <c r="E6" s="6" t="s">
        <v>87</v>
      </c>
      <c r="F6" s="6" t="s">
        <v>44</v>
      </c>
      <c r="G6" s="6" t="s">
        <v>45</v>
      </c>
      <c r="H6" s="6" t="s">
        <v>47</v>
      </c>
      <c r="J6" s="6" t="s">
        <v>56</v>
      </c>
      <c r="K6" s="6" t="str">
        <f t="shared" ref="K6:K14" si="0">B6</f>
        <v>Cl0002</v>
      </c>
      <c r="L6" s="6" t="str">
        <f t="shared" ref="L6:L14" si="1">E6</f>
        <v>PB0002</v>
      </c>
      <c r="M6" s="6" t="s">
        <v>12</v>
      </c>
      <c r="N6" s="6" t="s">
        <v>13</v>
      </c>
      <c r="O6" s="6">
        <v>2</v>
      </c>
      <c r="P6" s="6">
        <v>16</v>
      </c>
    </row>
    <row r="7" spans="2:16" x14ac:dyDescent="0.25">
      <c r="B7" s="6" t="s">
        <v>78</v>
      </c>
      <c r="C7" s="6" t="s">
        <v>15</v>
      </c>
      <c r="E7" s="6" t="s">
        <v>88</v>
      </c>
      <c r="F7" s="6" t="s">
        <v>48</v>
      </c>
      <c r="G7" s="6" t="s">
        <v>46</v>
      </c>
      <c r="H7" s="6" t="s">
        <v>43</v>
      </c>
      <c r="J7" s="6" t="s">
        <v>57</v>
      </c>
      <c r="K7" s="6" t="str">
        <f t="shared" si="0"/>
        <v>Cl0003</v>
      </c>
      <c r="L7" s="6" t="str">
        <f t="shared" si="1"/>
        <v>PB0003</v>
      </c>
      <c r="M7" s="6" t="s">
        <v>8</v>
      </c>
      <c r="N7" s="6" t="s">
        <v>9</v>
      </c>
      <c r="O7" s="6">
        <v>1</v>
      </c>
      <c r="P7" s="6">
        <v>15</v>
      </c>
    </row>
    <row r="8" spans="2:16" x14ac:dyDescent="0.25">
      <c r="B8" s="6" t="s">
        <v>79</v>
      </c>
      <c r="C8" s="6" t="s">
        <v>17</v>
      </c>
      <c r="E8" s="6" t="s">
        <v>89</v>
      </c>
      <c r="F8" s="6" t="s">
        <v>49</v>
      </c>
      <c r="G8" s="6" t="s">
        <v>45</v>
      </c>
      <c r="H8" s="6" t="s">
        <v>50</v>
      </c>
      <c r="J8" s="6" t="s">
        <v>58</v>
      </c>
      <c r="K8" s="6" t="str">
        <f t="shared" si="0"/>
        <v>Cl0004</v>
      </c>
      <c r="L8" s="6" t="str">
        <f t="shared" si="1"/>
        <v>PB0004</v>
      </c>
      <c r="M8" s="6" t="s">
        <v>8</v>
      </c>
      <c r="N8" s="6" t="s">
        <v>9</v>
      </c>
      <c r="O8" s="6">
        <v>3</v>
      </c>
      <c r="P8" s="6">
        <v>21</v>
      </c>
    </row>
    <row r="9" spans="2:16" x14ac:dyDescent="0.25">
      <c r="B9" s="6" t="s">
        <v>80</v>
      </c>
      <c r="C9" s="6" t="s">
        <v>19</v>
      </c>
      <c r="E9" s="6" t="s">
        <v>90</v>
      </c>
      <c r="F9" s="6" t="s">
        <v>41</v>
      </c>
      <c r="G9" s="6" t="s">
        <v>51</v>
      </c>
      <c r="H9" s="6" t="s">
        <v>43</v>
      </c>
      <c r="J9" s="6" t="s">
        <v>59</v>
      </c>
      <c r="K9" s="6" t="str">
        <f t="shared" si="0"/>
        <v>Cl0005</v>
      </c>
      <c r="L9" s="6" t="str">
        <f t="shared" si="1"/>
        <v>PB0005</v>
      </c>
      <c r="M9" s="6" t="s">
        <v>20</v>
      </c>
      <c r="N9" s="6" t="s">
        <v>21</v>
      </c>
      <c r="O9" s="6">
        <v>1</v>
      </c>
      <c r="P9" s="6">
        <v>22</v>
      </c>
    </row>
    <row r="10" spans="2:16" x14ac:dyDescent="0.25">
      <c r="B10" s="6" t="s">
        <v>81</v>
      </c>
      <c r="C10" s="6" t="s">
        <v>23</v>
      </c>
      <c r="E10" s="6" t="s">
        <v>91</v>
      </c>
      <c r="F10" s="6" t="s">
        <v>44</v>
      </c>
      <c r="G10" s="6" t="s">
        <v>46</v>
      </c>
      <c r="H10" s="6" t="s">
        <v>43</v>
      </c>
      <c r="J10" s="6" t="s">
        <v>60</v>
      </c>
      <c r="K10" s="6" t="str">
        <f t="shared" si="0"/>
        <v>Cl0006</v>
      </c>
      <c r="L10" s="6" t="str">
        <f t="shared" si="1"/>
        <v>PB0006</v>
      </c>
      <c r="M10" s="6" t="s">
        <v>8</v>
      </c>
      <c r="N10" s="6" t="s">
        <v>9</v>
      </c>
      <c r="O10" s="6">
        <v>2</v>
      </c>
      <c r="P10" s="6">
        <v>26</v>
      </c>
    </row>
    <row r="11" spans="2:16" x14ac:dyDescent="0.25">
      <c r="B11" s="6" t="s">
        <v>82</v>
      </c>
      <c r="C11" s="6" t="s">
        <v>25</v>
      </c>
      <c r="E11" s="6" t="s">
        <v>92</v>
      </c>
      <c r="F11" s="6" t="s">
        <v>52</v>
      </c>
      <c r="G11" s="6" t="s">
        <v>45</v>
      </c>
      <c r="H11" s="6" t="s">
        <v>53</v>
      </c>
      <c r="J11" s="6" t="s">
        <v>61</v>
      </c>
      <c r="K11" s="6" t="str">
        <f t="shared" si="0"/>
        <v>Cl0007</v>
      </c>
      <c r="L11" s="6" t="str">
        <f t="shared" si="1"/>
        <v>PB0007</v>
      </c>
      <c r="M11" s="6" t="s">
        <v>20</v>
      </c>
      <c r="N11" s="6" t="s">
        <v>21</v>
      </c>
      <c r="O11" s="6">
        <v>1</v>
      </c>
      <c r="P11" s="6">
        <v>10.5</v>
      </c>
    </row>
    <row r="12" spans="2:16" x14ac:dyDescent="0.25">
      <c r="B12" s="6" t="s">
        <v>83</v>
      </c>
      <c r="C12" s="6" t="s">
        <v>27</v>
      </c>
      <c r="E12" s="6" t="s">
        <v>93</v>
      </c>
      <c r="F12" s="6" t="s">
        <v>48</v>
      </c>
      <c r="G12" s="6" t="s">
        <v>54</v>
      </c>
      <c r="H12" s="6" t="s">
        <v>43</v>
      </c>
      <c r="J12" s="6" t="s">
        <v>62</v>
      </c>
      <c r="K12" s="6" t="str">
        <f t="shared" si="0"/>
        <v>Cl0008</v>
      </c>
      <c r="L12" s="6" t="str">
        <f t="shared" si="1"/>
        <v>PB0008</v>
      </c>
      <c r="M12" s="6" t="s">
        <v>20</v>
      </c>
      <c r="N12" s="6" t="s">
        <v>21</v>
      </c>
      <c r="O12" s="6">
        <v>2</v>
      </c>
      <c r="P12" s="6">
        <v>38</v>
      </c>
    </row>
    <row r="13" spans="2:16" x14ac:dyDescent="0.25">
      <c r="B13" s="6" t="s">
        <v>84</v>
      </c>
      <c r="C13" s="6" t="s">
        <v>29</v>
      </c>
      <c r="E13" s="6" t="s">
        <v>94</v>
      </c>
      <c r="F13" s="6" t="s">
        <v>49</v>
      </c>
      <c r="G13" s="6" t="s">
        <v>45</v>
      </c>
      <c r="H13" s="6" t="s">
        <v>47</v>
      </c>
      <c r="J13" s="6" t="s">
        <v>63</v>
      </c>
      <c r="K13" s="6" t="str">
        <f t="shared" si="0"/>
        <v>Cl0009</v>
      </c>
      <c r="L13" s="6" t="str">
        <f t="shared" si="1"/>
        <v>PB0009</v>
      </c>
      <c r="M13" s="6" t="s">
        <v>20</v>
      </c>
      <c r="N13" s="6" t="s">
        <v>21</v>
      </c>
      <c r="O13" s="6">
        <v>1</v>
      </c>
      <c r="P13" s="6">
        <v>8</v>
      </c>
    </row>
    <row r="14" spans="2:16" x14ac:dyDescent="0.25">
      <c r="B14" s="6" t="s">
        <v>85</v>
      </c>
      <c r="C14" s="6" t="s">
        <v>31</v>
      </c>
      <c r="E14" s="6" t="s">
        <v>95</v>
      </c>
      <c r="F14" s="6" t="s">
        <v>41</v>
      </c>
      <c r="G14" s="6" t="s">
        <v>46</v>
      </c>
      <c r="H14" s="6" t="s">
        <v>43</v>
      </c>
      <c r="J14" s="6" t="s">
        <v>64</v>
      </c>
      <c r="K14" s="6" t="str">
        <f t="shared" si="0"/>
        <v>Cl0010</v>
      </c>
      <c r="L14" s="6" t="str">
        <f t="shared" si="1"/>
        <v>PB0010</v>
      </c>
      <c r="M14" s="6" t="s">
        <v>8</v>
      </c>
      <c r="N14" s="6" t="s">
        <v>9</v>
      </c>
      <c r="O14" s="6">
        <v>2</v>
      </c>
      <c r="P14" s="6">
        <v>30</v>
      </c>
    </row>
  </sheetData>
  <mergeCells count="4">
    <mergeCell ref="B3:C3"/>
    <mergeCell ref="E3:H3"/>
    <mergeCell ref="J3:P3"/>
    <mergeCell ref="B2:P2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D1BB-8EC0-498A-A009-0705BFDC73DF}">
  <sheetPr codeName="Hoja4">
    <tabColor rgb="FF7030A0"/>
  </sheetPr>
  <dimension ref="A2:AF24"/>
  <sheetViews>
    <sheetView tabSelected="1" workbookViewId="0">
      <selection activeCell="G16" sqref="G16"/>
    </sheetView>
  </sheetViews>
  <sheetFormatPr baseColWidth="10" defaultRowHeight="17.25" x14ac:dyDescent="0.25"/>
  <cols>
    <col min="1" max="1" width="4.28515625" style="7" customWidth="1"/>
    <col min="2" max="2" width="20" style="7" bestFit="1" customWidth="1"/>
    <col min="3" max="3" width="24.42578125" style="7" bestFit="1" customWidth="1"/>
    <col min="4" max="4" width="4.28515625" style="7" customWidth="1"/>
    <col min="5" max="5" width="14.140625" style="7" bestFit="1" customWidth="1"/>
    <col min="6" max="6" width="20" style="7" bestFit="1" customWidth="1"/>
    <col min="7" max="7" width="27.42578125" style="7" bestFit="1" customWidth="1"/>
    <col min="8" max="8" width="4.28515625" style="7" customWidth="1"/>
    <col min="9" max="9" width="15.5703125" style="7" bestFit="1" customWidth="1"/>
    <col min="10" max="10" width="10.28515625" style="7" bestFit="1" customWidth="1"/>
    <col min="11" max="11" width="4.28515625" style="7" customWidth="1"/>
    <col min="12" max="12" width="17.140625" style="7" bestFit="1" customWidth="1"/>
    <col min="13" max="13" width="19.42578125" style="7" bestFit="1" customWidth="1"/>
    <col min="14" max="14" width="4.28515625" style="7" customWidth="1"/>
    <col min="15" max="15" width="15.5703125" style="7" bestFit="1" customWidth="1"/>
    <col min="16" max="16" width="20" style="7" bestFit="1" customWidth="1"/>
    <col min="17" max="17" width="4.28515625" style="7" customWidth="1"/>
    <col min="18" max="18" width="21.5703125" style="7" bestFit="1" customWidth="1"/>
    <col min="19" max="19" width="25.85546875" style="7" bestFit="1" customWidth="1"/>
    <col min="20" max="20" width="4.28515625" style="7" customWidth="1"/>
    <col min="21" max="22" width="17.140625" style="7" bestFit="1" customWidth="1"/>
    <col min="23" max="23" width="15.5703125" style="7" bestFit="1" customWidth="1"/>
    <col min="24" max="24" width="21.5703125" style="7" bestFit="1" customWidth="1"/>
    <col min="25" max="25" width="14.140625" style="7" bestFit="1" customWidth="1"/>
    <col min="26" max="26" width="4.28515625" style="7" customWidth="1"/>
    <col min="27" max="27" width="12.85546875" style="7" bestFit="1" customWidth="1"/>
    <col min="28" max="28" width="15.5703125" style="7" bestFit="1" customWidth="1"/>
    <col min="29" max="29" width="17.140625" style="7" bestFit="1" customWidth="1"/>
    <col min="30" max="30" width="20" style="7" bestFit="1" customWidth="1"/>
    <col min="31" max="31" width="15.5703125" style="7" bestFit="1" customWidth="1"/>
    <col min="32" max="32" width="4.28515625" style="7" customWidth="1"/>
    <col min="33" max="16384" width="11.42578125" style="7"/>
  </cols>
  <sheetData>
    <row r="2" spans="1:32" ht="32.25" x14ac:dyDescent="0.25">
      <c r="A2" s="19" t="s">
        <v>96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 s="9" customFormat="1" ht="21" x14ac:dyDescent="0.25">
      <c r="B3" s="18" t="s">
        <v>113</v>
      </c>
      <c r="C3" s="18"/>
      <c r="E3" s="18" t="s">
        <v>112</v>
      </c>
      <c r="F3" s="18"/>
      <c r="G3" s="18"/>
      <c r="I3" s="18" t="s">
        <v>111</v>
      </c>
      <c r="J3" s="18"/>
      <c r="L3" s="18" t="s">
        <v>110</v>
      </c>
      <c r="M3" s="18"/>
      <c r="O3" s="18" t="s">
        <v>109</v>
      </c>
      <c r="P3" s="18"/>
      <c r="R3" s="18" t="s">
        <v>108</v>
      </c>
      <c r="S3" s="18"/>
      <c r="U3" s="18" t="s">
        <v>107</v>
      </c>
      <c r="V3" s="18"/>
      <c r="W3" s="18"/>
      <c r="X3" s="18"/>
      <c r="Y3" s="18"/>
      <c r="AA3" s="18" t="s">
        <v>66</v>
      </c>
      <c r="AB3" s="18"/>
      <c r="AC3" s="18"/>
      <c r="AD3" s="18"/>
      <c r="AE3" s="18"/>
    </row>
    <row r="4" spans="1:32" s="8" customFormat="1" x14ac:dyDescent="0.25">
      <c r="B4" s="13" t="s">
        <v>97</v>
      </c>
      <c r="C4" s="10" t="s">
        <v>98</v>
      </c>
      <c r="E4" s="13" t="s">
        <v>99</v>
      </c>
      <c r="F4" s="14" t="s">
        <v>97</v>
      </c>
      <c r="G4" s="10" t="s">
        <v>100</v>
      </c>
      <c r="I4" s="13" t="s">
        <v>72</v>
      </c>
      <c r="J4" s="10" t="s">
        <v>69</v>
      </c>
      <c r="L4" s="13" t="s">
        <v>101</v>
      </c>
      <c r="M4" s="10" t="s">
        <v>102</v>
      </c>
      <c r="O4" s="13" t="s">
        <v>103</v>
      </c>
      <c r="P4" s="10" t="s">
        <v>104</v>
      </c>
      <c r="R4" s="13" t="s">
        <v>105</v>
      </c>
      <c r="S4" s="10" t="s">
        <v>106</v>
      </c>
      <c r="U4" s="13" t="s">
        <v>73</v>
      </c>
      <c r="V4" s="14" t="str">
        <f>L4</f>
        <v>id_Pelicula</v>
      </c>
      <c r="W4" s="14" t="str">
        <f>O4</f>
        <v>id_Formato</v>
      </c>
      <c r="X4" s="14" t="str">
        <f>R4</f>
        <v>id_TipoAsiento</v>
      </c>
      <c r="Y4" s="14" t="str">
        <f>E4</f>
        <v>id_Moneda</v>
      </c>
      <c r="AA4" s="13" t="s">
        <v>71</v>
      </c>
      <c r="AB4" s="14" t="str">
        <f>I4</f>
        <v>id_Cliente</v>
      </c>
      <c r="AC4" s="14" t="str">
        <f>U4</f>
        <v>id_Producto</v>
      </c>
      <c r="AD4" s="10" t="s">
        <v>38</v>
      </c>
      <c r="AE4" s="10" t="s">
        <v>39</v>
      </c>
    </row>
    <row r="5" spans="1:32" x14ac:dyDescent="0.25">
      <c r="B5" s="6" t="s">
        <v>114</v>
      </c>
      <c r="C5" s="6" t="s">
        <v>9</v>
      </c>
      <c r="E5" s="6" t="s">
        <v>117</v>
      </c>
      <c r="F5" s="6" t="str">
        <f>B5</f>
        <v>TV0001</v>
      </c>
      <c r="G5" s="6" t="s">
        <v>8</v>
      </c>
      <c r="I5" s="6" t="s">
        <v>76</v>
      </c>
      <c r="J5" s="6" t="s">
        <v>7</v>
      </c>
      <c r="L5" s="6" t="s">
        <v>120</v>
      </c>
      <c r="M5" s="6" t="s">
        <v>41</v>
      </c>
      <c r="O5" s="6" t="s">
        <v>125</v>
      </c>
      <c r="P5" s="6" t="s">
        <v>42</v>
      </c>
      <c r="R5" s="6" t="s">
        <v>130</v>
      </c>
      <c r="S5" s="6" t="s">
        <v>47</v>
      </c>
      <c r="U5" s="6" t="s">
        <v>86</v>
      </c>
      <c r="V5" s="6" t="str">
        <f>L5</f>
        <v>PEL0001</v>
      </c>
      <c r="W5" s="6" t="str">
        <f>O5</f>
        <v>FOR0001</v>
      </c>
      <c r="X5" s="6" t="str">
        <f>R7</f>
        <v>TA0003</v>
      </c>
      <c r="Y5" s="6" t="str">
        <f>E5</f>
        <v>MON0001</v>
      </c>
      <c r="AA5" s="6" t="s">
        <v>134</v>
      </c>
      <c r="AB5" s="6" t="str">
        <f t="shared" ref="AB5:AB14" si="0">I5</f>
        <v>Cl0001</v>
      </c>
      <c r="AC5" s="6" t="str">
        <f t="shared" ref="AC5:AC14" si="1">U5</f>
        <v>PB0001</v>
      </c>
      <c r="AD5" s="6">
        <v>1</v>
      </c>
      <c r="AE5" s="6">
        <v>12.5</v>
      </c>
    </row>
    <row r="6" spans="1:32" x14ac:dyDescent="0.25">
      <c r="B6" s="6" t="s">
        <v>115</v>
      </c>
      <c r="C6" s="6" t="s">
        <v>13</v>
      </c>
      <c r="E6" s="6" t="s">
        <v>118</v>
      </c>
      <c r="F6" s="6" t="str">
        <f t="shared" ref="F6:F7" si="2">B6</f>
        <v>TV0002</v>
      </c>
      <c r="G6" s="6" t="s">
        <v>12</v>
      </c>
      <c r="I6" s="6" t="s">
        <v>77</v>
      </c>
      <c r="J6" s="6" t="s">
        <v>11</v>
      </c>
      <c r="L6" s="6" t="s">
        <v>121</v>
      </c>
      <c r="M6" s="6" t="s">
        <v>44</v>
      </c>
      <c r="O6" s="6" t="s">
        <v>126</v>
      </c>
      <c r="P6" s="6" t="s">
        <v>54</v>
      </c>
      <c r="R6" s="6" t="s">
        <v>131</v>
      </c>
      <c r="S6" s="6" t="s">
        <v>50</v>
      </c>
      <c r="U6" s="6" t="s">
        <v>87</v>
      </c>
      <c r="V6" s="6" t="str">
        <f>L6</f>
        <v>PEL0002</v>
      </c>
      <c r="W6" s="6" t="str">
        <f>O7</f>
        <v>FOR0003</v>
      </c>
      <c r="X6" s="6" t="str">
        <f>R5</f>
        <v>TA0001</v>
      </c>
      <c r="Y6" s="6" t="str">
        <f>E6</f>
        <v>MON0002</v>
      </c>
      <c r="AA6" s="6" t="s">
        <v>135</v>
      </c>
      <c r="AB6" s="6" t="str">
        <f t="shared" si="0"/>
        <v>Cl0002</v>
      </c>
      <c r="AC6" s="6" t="str">
        <f t="shared" si="1"/>
        <v>PB0002</v>
      </c>
      <c r="AD6" s="6">
        <v>2</v>
      </c>
      <c r="AE6" s="6">
        <v>16</v>
      </c>
    </row>
    <row r="7" spans="1:32" x14ac:dyDescent="0.25">
      <c r="B7" s="6" t="s">
        <v>116</v>
      </c>
      <c r="C7" s="6" t="s">
        <v>21</v>
      </c>
      <c r="E7" s="6" t="s">
        <v>119</v>
      </c>
      <c r="F7" s="6" t="str">
        <f t="shared" si="2"/>
        <v>TV0003</v>
      </c>
      <c r="G7" s="6" t="s">
        <v>20</v>
      </c>
      <c r="I7" s="6" t="s">
        <v>78</v>
      </c>
      <c r="J7" s="6" t="s">
        <v>15</v>
      </c>
      <c r="L7" s="6" t="s">
        <v>122</v>
      </c>
      <c r="M7" s="6" t="s">
        <v>48</v>
      </c>
      <c r="O7" s="6" t="s">
        <v>127</v>
      </c>
      <c r="P7" s="6" t="s">
        <v>45</v>
      </c>
      <c r="R7" s="6" t="s">
        <v>132</v>
      </c>
      <c r="S7" s="6" t="s">
        <v>43</v>
      </c>
      <c r="U7" s="6" t="s">
        <v>88</v>
      </c>
      <c r="V7" s="6" t="str">
        <f>L7</f>
        <v>PEL0003</v>
      </c>
      <c r="W7" s="6" t="str">
        <f>O9</f>
        <v>FOR0005</v>
      </c>
      <c r="X7" s="6" t="str">
        <f>R7</f>
        <v>TA0003</v>
      </c>
      <c r="Y7" s="6" t="str">
        <f>E5</f>
        <v>MON0001</v>
      </c>
      <c r="AA7" s="6" t="s">
        <v>136</v>
      </c>
      <c r="AB7" s="6" t="str">
        <f t="shared" si="0"/>
        <v>Cl0003</v>
      </c>
      <c r="AC7" s="6" t="str">
        <f t="shared" si="1"/>
        <v>PB0003</v>
      </c>
      <c r="AD7" s="6">
        <v>1</v>
      </c>
      <c r="AE7" s="6">
        <v>15</v>
      </c>
    </row>
    <row r="8" spans="1:32" x14ac:dyDescent="0.25">
      <c r="C8" s="11"/>
      <c r="I8" s="6" t="s">
        <v>79</v>
      </c>
      <c r="J8" s="6" t="s">
        <v>17</v>
      </c>
      <c r="L8" s="6" t="s">
        <v>123</v>
      </c>
      <c r="M8" s="6" t="s">
        <v>49</v>
      </c>
      <c r="O8" s="6" t="s">
        <v>128</v>
      </c>
      <c r="P8" s="6" t="s">
        <v>51</v>
      </c>
      <c r="R8" s="6" t="s">
        <v>133</v>
      </c>
      <c r="S8" s="6" t="s">
        <v>53</v>
      </c>
      <c r="U8" s="6" t="s">
        <v>89</v>
      </c>
      <c r="V8" s="6" t="str">
        <f>L8</f>
        <v>PEL0004</v>
      </c>
      <c r="W8" s="6" t="str">
        <f>O7</f>
        <v>FOR0003</v>
      </c>
      <c r="X8" s="6" t="str">
        <f>R6</f>
        <v>TA0002</v>
      </c>
      <c r="Y8" s="6" t="str">
        <f>E5</f>
        <v>MON0001</v>
      </c>
      <c r="AA8" s="6" t="s">
        <v>137</v>
      </c>
      <c r="AB8" s="6" t="str">
        <f t="shared" si="0"/>
        <v>Cl0004</v>
      </c>
      <c r="AC8" s="6" t="str">
        <f t="shared" si="1"/>
        <v>PB0004</v>
      </c>
      <c r="AD8" s="6">
        <v>3</v>
      </c>
      <c r="AE8" s="6">
        <v>21</v>
      </c>
    </row>
    <row r="9" spans="1:32" x14ac:dyDescent="0.25">
      <c r="C9"/>
      <c r="I9" s="6" t="s">
        <v>80</v>
      </c>
      <c r="J9" s="6" t="s">
        <v>19</v>
      </c>
      <c r="L9" s="6" t="s">
        <v>124</v>
      </c>
      <c r="M9" s="6" t="s">
        <v>52</v>
      </c>
      <c r="O9" s="6" t="s">
        <v>129</v>
      </c>
      <c r="P9" s="6" t="s">
        <v>46</v>
      </c>
      <c r="U9" s="6" t="s">
        <v>90</v>
      </c>
      <c r="V9" s="6" t="str">
        <f>L5</f>
        <v>PEL0001</v>
      </c>
      <c r="W9" s="6" t="str">
        <f>O8</f>
        <v>FOR0004</v>
      </c>
      <c r="X9" s="6" t="str">
        <f>R7</f>
        <v>TA0003</v>
      </c>
      <c r="Y9" s="6" t="str">
        <f>E7</f>
        <v>MON0003</v>
      </c>
      <c r="AA9" s="6" t="s">
        <v>138</v>
      </c>
      <c r="AB9" s="6" t="str">
        <f t="shared" si="0"/>
        <v>Cl0005</v>
      </c>
      <c r="AC9" s="6" t="str">
        <f t="shared" si="1"/>
        <v>PB0005</v>
      </c>
      <c r="AD9" s="6">
        <v>1</v>
      </c>
      <c r="AE9" s="6">
        <v>22</v>
      </c>
    </row>
    <row r="10" spans="1:32" x14ac:dyDescent="0.25">
      <c r="C10" s="11"/>
      <c r="I10" s="6" t="s">
        <v>81</v>
      </c>
      <c r="J10" s="6" t="s">
        <v>23</v>
      </c>
      <c r="U10" s="6" t="s">
        <v>91</v>
      </c>
      <c r="V10" s="6" t="str">
        <f>L6</f>
        <v>PEL0002</v>
      </c>
      <c r="W10" s="6" t="str">
        <f>O9</f>
        <v>FOR0005</v>
      </c>
      <c r="X10" s="6" t="str">
        <f>R7</f>
        <v>TA0003</v>
      </c>
      <c r="Y10" s="6" t="str">
        <f>E5</f>
        <v>MON0001</v>
      </c>
      <c r="AA10" s="6" t="s">
        <v>139</v>
      </c>
      <c r="AB10" s="6" t="str">
        <f t="shared" si="0"/>
        <v>Cl0006</v>
      </c>
      <c r="AC10" s="6" t="str">
        <f t="shared" si="1"/>
        <v>PB0006</v>
      </c>
      <c r="AD10" s="6">
        <v>2</v>
      </c>
      <c r="AE10" s="6">
        <v>26</v>
      </c>
    </row>
    <row r="11" spans="1:32" x14ac:dyDescent="0.25">
      <c r="B11" s="16" t="s">
        <v>148</v>
      </c>
      <c r="C11" s="16" t="s">
        <v>149</v>
      </c>
      <c r="I11" s="6" t="s">
        <v>82</v>
      </c>
      <c r="J11" s="6" t="s">
        <v>25</v>
      </c>
      <c r="U11" s="6" t="s">
        <v>92</v>
      </c>
      <c r="V11" s="6" t="str">
        <f>L9</f>
        <v>PEL0005</v>
      </c>
      <c r="W11" s="6" t="str">
        <f>O7</f>
        <v>FOR0003</v>
      </c>
      <c r="X11" s="6" t="str">
        <f>R8</f>
        <v>TA0004</v>
      </c>
      <c r="Y11" s="6" t="str">
        <f>E7</f>
        <v>MON0003</v>
      </c>
      <c r="AA11" s="6" t="s">
        <v>140</v>
      </c>
      <c r="AB11" s="6" t="str">
        <f t="shared" si="0"/>
        <v>Cl0007</v>
      </c>
      <c r="AC11" s="6" t="str">
        <f t="shared" si="1"/>
        <v>PB0007</v>
      </c>
      <c r="AD11" s="6">
        <v>1</v>
      </c>
      <c r="AE11" s="6">
        <v>10.5</v>
      </c>
    </row>
    <row r="12" spans="1:32" x14ac:dyDescent="0.25">
      <c r="B12" s="1" t="s">
        <v>144</v>
      </c>
      <c r="C12" s="12"/>
      <c r="I12" s="6" t="s">
        <v>83</v>
      </c>
      <c r="J12" s="6" t="s">
        <v>27</v>
      </c>
      <c r="U12" s="6" t="s">
        <v>93</v>
      </c>
      <c r="V12" s="6" t="str">
        <f>L7</f>
        <v>PEL0003</v>
      </c>
      <c r="W12" s="6" t="str">
        <f>O6</f>
        <v>FOR0002</v>
      </c>
      <c r="X12" s="6" t="str">
        <f>R7</f>
        <v>TA0003</v>
      </c>
      <c r="Y12" s="6" t="str">
        <f>E7</f>
        <v>MON0003</v>
      </c>
      <c r="AA12" s="6" t="s">
        <v>141</v>
      </c>
      <c r="AB12" s="6" t="str">
        <f t="shared" si="0"/>
        <v>Cl0008</v>
      </c>
      <c r="AC12" s="6" t="str">
        <f t="shared" si="1"/>
        <v>PB0008</v>
      </c>
      <c r="AD12" s="6">
        <v>2</v>
      </c>
      <c r="AE12" s="6">
        <v>38</v>
      </c>
    </row>
    <row r="13" spans="1:32" x14ac:dyDescent="0.25">
      <c r="B13" s="1" t="s">
        <v>145</v>
      </c>
      <c r="C13" s="14"/>
      <c r="I13" s="6" t="s">
        <v>84</v>
      </c>
      <c r="J13" s="6" t="s">
        <v>29</v>
      </c>
      <c r="U13" s="6" t="s">
        <v>94</v>
      </c>
      <c r="V13" s="6" t="str">
        <f>L8</f>
        <v>PEL0004</v>
      </c>
      <c r="W13" s="6" t="str">
        <f>O7</f>
        <v>FOR0003</v>
      </c>
      <c r="X13" s="6" t="str">
        <f>R5</f>
        <v>TA0001</v>
      </c>
      <c r="Y13" s="6" t="str">
        <f>E7</f>
        <v>MON0003</v>
      </c>
      <c r="AA13" s="6" t="s">
        <v>142</v>
      </c>
      <c r="AB13" s="6" t="str">
        <f t="shared" si="0"/>
        <v>Cl0009</v>
      </c>
      <c r="AC13" s="6" t="str">
        <f t="shared" si="1"/>
        <v>PB0009</v>
      </c>
      <c r="AD13" s="6">
        <v>1</v>
      </c>
      <c r="AE13" s="6">
        <v>8</v>
      </c>
    </row>
    <row r="14" spans="1:32" x14ac:dyDescent="0.25">
      <c r="B14" s="1" t="s">
        <v>146</v>
      </c>
      <c r="C14" s="10"/>
      <c r="I14" s="6" t="s">
        <v>85</v>
      </c>
      <c r="J14" s="6" t="s">
        <v>31</v>
      </c>
      <c r="U14" s="6" t="s">
        <v>95</v>
      </c>
      <c r="V14" s="6" t="str">
        <f>L5</f>
        <v>PEL0001</v>
      </c>
      <c r="W14" s="6" t="str">
        <f>O9</f>
        <v>FOR0005</v>
      </c>
      <c r="X14" s="6" t="str">
        <f>R7</f>
        <v>TA0003</v>
      </c>
      <c r="Y14" s="6" t="str">
        <f>E5</f>
        <v>MON0001</v>
      </c>
      <c r="AA14" s="6" t="s">
        <v>143</v>
      </c>
      <c r="AB14" s="6" t="str">
        <f t="shared" si="0"/>
        <v>Cl0010</v>
      </c>
      <c r="AC14" s="6" t="str">
        <f t="shared" si="1"/>
        <v>PB0010</v>
      </c>
      <c r="AD14" s="6">
        <v>2</v>
      </c>
      <c r="AE14" s="6">
        <v>30</v>
      </c>
    </row>
    <row r="15" spans="1:32" x14ac:dyDescent="0.25">
      <c r="B15" s="1" t="s">
        <v>147</v>
      </c>
      <c r="C15" s="15"/>
    </row>
    <row r="23" spans="4:4" ht="21" x14ac:dyDescent="0.25">
      <c r="D23" s="9"/>
    </row>
    <row r="24" spans="4:4" x14ac:dyDescent="0.25">
      <c r="D24" s="8"/>
    </row>
  </sheetData>
  <mergeCells count="9">
    <mergeCell ref="R3:S3"/>
    <mergeCell ref="U3:Y3"/>
    <mergeCell ref="AA3:AE3"/>
    <mergeCell ref="A2:AF2"/>
    <mergeCell ref="I3:J3"/>
    <mergeCell ref="B3:C3"/>
    <mergeCell ref="E3:G3"/>
    <mergeCell ref="L3:M3"/>
    <mergeCell ref="O3:P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5.3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2026-02-16T01:43:11Z</dcterms:created>
  <dcterms:modified xsi:type="dcterms:W3CDTF">2026-02-16T03:04:56Z</dcterms:modified>
</cp:coreProperties>
</file>